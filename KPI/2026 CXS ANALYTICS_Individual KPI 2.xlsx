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7"/>
  <workbookPr/>
  <xr:revisionPtr revIDLastSave="0" documentId="8_{64B31C8D-BCB5-4AE5-9121-5137ED79E0E0}" xr6:coauthVersionLast="47" xr6:coauthVersionMax="47" xr10:uidLastSave="{00000000-0000-0000-0000-000000000000}"/>
  <bookViews>
    <workbookView xWindow="0" yWindow="0" windowWidth="30240" windowHeight="12260" firstSheet="1" activeTab="1" xr2:uid="{00000000-000D-0000-FFFF-FFFF00000000}"/>
  </bookViews>
  <sheets>
    <sheet name="Guideline &amp; Rating" sheetId="4" r:id="rId1"/>
    <sheet name="Individual KPI"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1" l="1"/>
  <c r="J25" i="1"/>
  <c r="L16" i="1"/>
  <c r="J16" i="1"/>
  <c r="E16" i="1"/>
  <c r="M15" i="1"/>
  <c r="K15" i="1"/>
  <c r="M14" i="1"/>
  <c r="K14" i="1"/>
  <c r="M13" i="1"/>
  <c r="K13" i="1"/>
  <c r="M12" i="1"/>
  <c r="K12" i="1"/>
  <c r="M11" i="1"/>
  <c r="M16" i="1" s="1"/>
  <c r="K11" i="1"/>
  <c r="K16" i="1" s="1"/>
</calcChain>
</file>

<file path=xl/sharedStrings.xml><?xml version="1.0" encoding="utf-8"?>
<sst xmlns="http://schemas.openxmlformats.org/spreadsheetml/2006/main" count="121" uniqueCount="112">
  <si>
    <t>GUIDELINE - INDIVIDUAL KPI</t>
  </si>
  <si>
    <t>This guideline explains how Key Performance Indicators (KPIs) are set, measured, reviewed, and used to support employee performance, development, and business success.</t>
  </si>
  <si>
    <t>1. PURPOSE</t>
  </si>
  <si>
    <t>KPIs are designed to:</t>
  </si>
  <si>
    <t>- Align individual performance with company objectives</t>
  </si>
  <si>
    <t>- Clarify expectations and priorities</t>
  </si>
  <si>
    <t>- Encourage accountability and continuous improvement</t>
  </si>
  <si>
    <t>- Support transparent performance evaluation</t>
  </si>
  <si>
    <t>2. What is a KPI?</t>
  </si>
  <si>
    <t>A KPI is a measurable indicator used to evaluate how effectively an employee achieves their job responsibilities and agreed goals.</t>
  </si>
  <si>
    <t>KPIs should be:</t>
  </si>
  <si>
    <t>- Specific: Clearly defined</t>
  </si>
  <si>
    <t>- Measurable: Quantifiable or objectively assessable</t>
  </si>
  <si>
    <t>- Achievable: Realistic within role scope</t>
  </si>
  <si>
    <t>- Relevant: Aligned with business priorities</t>
  </si>
  <si>
    <t>- Time-bound: Linked to a review period</t>
  </si>
  <si>
    <t>3. KPI Setting Process</t>
  </si>
  <si>
    <t>To ensure focus, clarity, and effective performance management, the following KPI quantity rules apply:</t>
  </si>
  <si>
    <t>a. KPIs must reflect: Role Responsibilities, Team Objectives and Company Priorities</t>
  </si>
  <si>
    <t>b. KPIs are agreed between the employee and reporting manager. Employees are encouraged to ask questions and seek clarification before finalising KPIs</t>
  </si>
  <si>
    <t>c. A minimum of 3 and a maximum of 5 individual KPIs. Any KPI setting beyond this range must be discussed and approved by the reporting manager before finalisation.</t>
  </si>
  <si>
    <t>d. Each KPI should include: Description, measurement targets and weightage:-</t>
  </si>
  <si>
    <t>- KPI Objective: KPI description clearly explains what is being measured. It should define the responsibility, outcome, or performance area in specific terms.</t>
  </si>
  <si>
    <t>- Weightage: Weightage reflects the importance of the KPI compared to other KPIs. Total KPI weightage must equal 100%</t>
  </si>
  <si>
    <t>- Base target: The minimum acceptable level of performance, meeting this target indicates satisfactory achievement.</t>
  </si>
  <si>
    <t>- Stretch Target: A higher performance level that demonstrates above-average achievement.</t>
  </si>
  <si>
    <t>- Performance Rating guideline:-</t>
  </si>
  <si>
    <t>Rating</t>
  </si>
  <si>
    <t>Description</t>
  </si>
  <si>
    <t>Exceeds stretch target: Performance meets or surpasses Stretch Target; exceptional results demonstrating outstanding achievement.
The individual exhibits an exceptional level of proficiency to the next level. They consistently demonstrate a deep understanding and apply it effectively in a wide range of situations. Their performance is consistently outstanding, and they serve as a role model for others in this area.</t>
  </si>
  <si>
    <t>Exceeds base target: Performance surpasses the base target and may achieve Stretch Target with strong and commendable results.
The individual demonstrates in above-average satisfactory level of proficiency. They consistently apply it effectively in most situations and show a solid understanding of its principles. There is room for growth, but their performance is generally reliable.</t>
  </si>
  <si>
    <t>Meet base target: Performance consistently achieve the base target; satisfactory result with room for improvement.
The individual possesses some basic understanding and ability but still needs improvement. They may exhibit inconsistencies in their application and could benefit from further development and refinement.</t>
  </si>
  <si>
    <t>Does not meet expectations: Performance falls below the base target; significant improvement is required.
The individual demonstrate significant lack of proficiency or understanding. They are struggle to apply it effectively in various situations and require considerable improvement.</t>
  </si>
  <si>
    <t>4. KPI Review Process</t>
  </si>
  <si>
    <t>- KPI progress should be discussed by immediate superior and employee regularly during check-ins.</t>
  </si>
  <si>
    <t>- Formal reviews will be conducted according to the company performance cycle (Mid-year review by June, Year-end review by December)</t>
  </si>
  <si>
    <t>- Ratings will be supported by evidence such as results, data, and feedback.</t>
  </si>
  <si>
    <t>KEY PERFORMANCE INDICATORS (KPI) - INDIVIDUAL LEVEL KPI</t>
  </si>
  <si>
    <t>NAME</t>
  </si>
  <si>
    <t>Wasim Akram</t>
  </si>
  <si>
    <t>DEPARTMENT</t>
  </si>
  <si>
    <t>Engineering &amp; infa</t>
  </si>
  <si>
    <t>DIVISION</t>
  </si>
  <si>
    <t>Technology</t>
  </si>
  <si>
    <t>JOB POSITION</t>
  </si>
  <si>
    <t>Lead Developer</t>
  </si>
  <si>
    <t>JOB LEVEL</t>
  </si>
  <si>
    <t>REPORT TO</t>
  </si>
  <si>
    <t>Wilson</t>
  </si>
  <si>
    <t>1) Individual KPI</t>
  </si>
  <si>
    <t>No.</t>
  </si>
  <si>
    <t>KPI Objective</t>
  </si>
  <si>
    <t>Weightage (%)</t>
  </si>
  <si>
    <t>Base Target</t>
  </si>
  <si>
    <t>Stretched Target</t>
  </si>
  <si>
    <t>Mid Year Achievement</t>
  </si>
  <si>
    <t>Year End Achievement</t>
  </si>
  <si>
    <t>Self Rating</t>
  </si>
  <si>
    <t>Weighted Score</t>
  </si>
  <si>
    <t>Superior Rating</t>
  </si>
  <si>
    <t>Remarks [Eg. Result, Revised or Add or N/A]</t>
  </si>
  <si>
    <t xml:space="preserve">Architecture &amp; Infrastructure  </t>
  </si>
  <si>
    <t>propose ≥ 3 architecure improvement</t>
  </si>
  <si>
    <t>propose ≥ 5 architecure improvement</t>
  </si>
  <si>
    <t xml:space="preserve">Squad Say/Do Ratio, hand-on Coding </t>
  </si>
  <si>
    <t>≥ 90% sprint commitments delivered</t>
  </si>
  <si>
    <t>100% delivered on time</t>
  </si>
  <si>
    <t>Code Quality + Review + Bugs Resolution</t>
  </si>
  <si>
    <t>≥ 95% issue addressed on time</t>
  </si>
  <si>
    <t>100% of issue addressed promptly</t>
  </si>
  <si>
    <t>Test Coverage - Contribute to automated tests, unit Test</t>
  </si>
  <si>
    <t xml:space="preserve">≥ 80% (squad, not individual) </t>
  </si>
  <si>
    <t>Build Learning &amp; Growth culture</t>
  </si>
  <si>
    <t>Develop syllabus with an accompanying questionnaire to monitor learners’ progress.</t>
  </si>
  <si>
    <t>Ensure learners achieve demonstrable improvement, with at least 80% of participants showing measurable learning gains based on questionnaire results.</t>
  </si>
  <si>
    <t>2) Cultural and Behavioral Evaluation</t>
  </si>
  <si>
    <t>Core Value</t>
  </si>
  <si>
    <t>Remarks [Eg. Result, Document, Evidence or N/A]</t>
  </si>
  <si>
    <t>Integrity</t>
  </si>
  <si>
    <t>Demonstrates honesty and accountability in communication, walk the talk</t>
  </si>
  <si>
    <t>Innovation</t>
  </si>
  <si>
    <t>Generates new ideas and creative solutions, proactively proposes improvement ideas. Adjusts to change and new challenges</t>
  </si>
  <si>
    <t>e.g. leadersgip shout-outs, ideas submitted</t>
  </si>
  <si>
    <t>Empowerment</t>
  </si>
  <si>
    <t>Takes initiative and enables others to succeed, respect and works effectively across teams</t>
  </si>
  <si>
    <t>Excellence</t>
  </si>
  <si>
    <t>Professionalism and shows self-management and reliability, consistently delivering high-quality work and taking ownership.</t>
  </si>
  <si>
    <t>3) Development Plan</t>
  </si>
  <si>
    <t>Development Area/ Goal</t>
  </si>
  <si>
    <t>Plan of Action</t>
  </si>
  <si>
    <t>Target Result/ Improvement</t>
  </si>
  <si>
    <t>Improve Sprint Planning Accuracy and Delivery Predictability</t>
  </si>
  <si>
    <t xml:space="preserve">1.Improve story breakdown and estimation techniques during sprint plannin 2.Proactively identify risks, dependencies, and blockers earlier in the sprint 3.Regularly review sprint retrospectives and apply improvement actions
</t>
  </si>
  <si>
    <t>1. Achieve consistent sprint Say/Do ratio above 90%.  2.Reduce story spillover and unplanned work.  3. Improved predictability and stakeholder confidence in delivery</t>
  </si>
  <si>
    <t>Strengthen Code Quality, Testing Practices, and Defect Prevention</t>
  </si>
  <si>
    <t>1. Increase focus on test-driven development and test coverage 2.Improve quality of code reviews with emphasis on security, performance, and maintainability
3. Actively monitor SonarQube reports and address high-severity issues early</t>
  </si>
  <si>
    <t xml:space="preserve">1. Reduction in critical and recurring production issues. 2. Improved unit and integration test coverage. 3.Higher overall code quality and system stability
</t>
  </si>
  <si>
    <t>Develop Leadership Effectiveness Through Mentorship and Knowledge Sharing</t>
  </si>
  <si>
    <t>1.Conduct regular technical mentoring and guidance sessions with squad members 2. Improve clarity and completeness of technical documentation in Confluence</t>
  </si>
  <si>
    <t xml:space="preserve">1. Improved technical capability and confidence within the squad.
2. Better onboarding and knowledge continuity.
</t>
  </si>
  <si>
    <t>Enhance System Architecture Ownership</t>
  </si>
  <si>
    <t>1. Improve quality and clarity of Technical Design Documents. 2. Seek early architectural reviews and feedback from peers and Engineering Manager. 3. Continuously evaluate system performance, scalability, and reliability impact.</t>
  </si>
  <si>
    <t>1. Better-aligned and well-documented technical designs. 2. Improved long-term platform stability and maintainability</t>
  </si>
  <si>
    <t>4) Feedback/ Recommendations</t>
  </si>
  <si>
    <t>Employee’s Comments</t>
  </si>
  <si>
    <t>Immediate Supervisor’s Comments</t>
  </si>
  <si>
    <t>As a Lead Developer, I would like to be involved in additional projects beyond InsightAccess, contributing to both high-level system design and low-level technical design. This will help improve technical consistency, knowledge sharing, and overall engineering quality across teams.</t>
  </si>
  <si>
    <t>5) Acknowledgement</t>
  </si>
  <si>
    <t>I hereby confirm my understanding and acceptance of the above stated Key Targets forming the basis of my performance evaluation for the period above.</t>
  </si>
  <si>
    <t>(SIGNATURE)</t>
  </si>
  <si>
    <t>DATE</t>
  </si>
  <si>
    <t>26-03-2026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</si>
</sst>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numFmt numFmtId="165" formatCode="0.0"/>
  </numFmts>
  <fonts count="10">
    <font>
      <sz val="11"/>
      <color theme="1"/>
      <name val="Calibri"/>
      <charset val="134"/>
      <scheme val="minor"/>
    </font>
    <font>
      <b/>
      <sz val="18"/>
      <color theme="5"/>
      <name val="Calibri"/>
      <charset val="134"/>
      <scheme val="minor"/>
    </font>
    <font>
      <b/>
      <sz val="11"/>
      <color theme="1"/>
      <name val="Calibri"/>
      <charset val="134"/>
      <scheme val="minor"/>
    </font>
    <font>
      <i/>
      <sz val="8"/>
      <color theme="1"/>
      <name val="Calibri"/>
      <charset val="134"/>
      <scheme val="minor"/>
    </font>
    <font>
      <i/>
      <sz val="11"/>
      <color theme="5"/>
      <name val="Calibri"/>
      <charset val="134"/>
      <scheme val="minor"/>
    </font>
    <font>
      <b/>
      <sz val="9"/>
      <color theme="1"/>
      <name val="Arial"/>
      <charset val="134"/>
    </font>
    <font>
      <i/>
      <sz val="11"/>
      <color theme="1"/>
      <name val="Calibri"/>
      <charset val="134"/>
      <scheme val="minor"/>
    </font>
    <font>
      <b/>
      <sz val="14"/>
      <color rgb="FFFF9300"/>
      <name val="Calibri"/>
      <charset val="134"/>
      <scheme val="minor"/>
    </font>
    <font>
      <i/>
      <sz val="11"/>
      <color rgb="FFFFC000"/>
      <name val="Calibri"/>
      <charset val="134"/>
      <scheme val="minor"/>
    </font>
    <font>
      <sz val="11"/>
      <color theme="1"/>
      <name val="Calibri"/>
      <charset val="134"/>
      <scheme val="minor"/>
    </font>
  </fonts>
  <fills count="5">
    <fill>
      <patternFill patternType="none"/>
    </fill>
    <fill>
      <patternFill patternType="gray125"/>
    </fill>
    <fill>
      <patternFill patternType="solid">
        <fgColor rgb="FFFFFD78"/>
        <bgColor indexed="64"/>
      </patternFill>
    </fill>
    <fill>
      <patternFill patternType="solid">
        <fgColor theme="7" tint="0.59999389629810485"/>
        <bgColor indexed="64"/>
      </patternFill>
    </fill>
    <fill>
      <patternFill patternType="solid">
        <fgColor theme="5"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2">
    <xf numFmtId="0" fontId="0" fillId="0" borderId="0"/>
    <xf numFmtId="9" fontId="9" fillId="0" borderId="0" applyFont="0" applyFill="0" applyBorder="0" applyAlignment="0" applyProtection="0"/>
  </cellStyleXfs>
  <cellXfs count="79">
    <xf numFmtId="0" fontId="0" fillId="0" borderId="0" xfId="0"/>
    <xf numFmtId="0" fontId="0" fillId="0" borderId="0" xfId="0" applyAlignment="1">
      <alignment horizontal="left" vertical="center"/>
    </xf>
    <xf numFmtId="0" fontId="0" fillId="0" borderId="0" xfId="0" applyAlignment="1">
      <alignment horizontal="center" vertical="center" wrapText="1"/>
    </xf>
    <xf numFmtId="0" fontId="2" fillId="0" borderId="0" xfId="0" applyFont="1"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wrapText="1"/>
    </xf>
    <xf numFmtId="9" fontId="2" fillId="0" borderId="0" xfId="1" applyFont="1" applyBorder="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1" xfId="0" applyBorder="1" applyAlignment="1">
      <alignment horizontal="left" vertical="center" wrapText="1"/>
    </xf>
    <xf numFmtId="0" fontId="0" fillId="0" borderId="5" xfId="0" applyBorder="1"/>
    <xf numFmtId="0" fontId="0" fillId="0" borderId="5" xfId="0" applyBorder="1" applyAlignment="1">
      <alignment horizontal="left" vertical="center"/>
    </xf>
    <xf numFmtId="0" fontId="6" fillId="0" borderId="0" xfId="0" applyFont="1"/>
    <xf numFmtId="164" fontId="2" fillId="0" borderId="0" xfId="0" applyNumberFormat="1" applyFont="1"/>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9" fontId="0" fillId="2" borderId="1" xfId="1" applyFont="1" applyFill="1" applyBorder="1" applyAlignment="1">
      <alignment horizontal="center" vertical="center" wrapText="1"/>
    </xf>
    <xf numFmtId="0" fontId="0" fillId="0" borderId="1" xfId="0" applyBorder="1" applyAlignment="1">
      <alignment horizontal="center" vertical="center" wrapText="1"/>
    </xf>
    <xf numFmtId="9" fontId="0" fillId="2" borderId="1" xfId="1" applyFont="1" applyFill="1" applyBorder="1" applyAlignment="1">
      <alignment horizontal="center" vertical="center"/>
    </xf>
    <xf numFmtId="9" fontId="0" fillId="2" borderId="1" xfId="0" applyNumberFormat="1" applyFill="1" applyBorder="1" applyAlignment="1">
      <alignment horizontal="center" vertical="center" wrapText="1"/>
    </xf>
    <xf numFmtId="9" fontId="2" fillId="0" borderId="1" xfId="1" applyFont="1" applyBorder="1" applyAlignment="1">
      <alignment horizontal="center" vertical="center"/>
    </xf>
    <xf numFmtId="0" fontId="0" fillId="0" borderId="0" xfId="0" applyAlignment="1">
      <alignment horizontal="center" vertical="center"/>
    </xf>
    <xf numFmtId="165" fontId="0" fillId="0" borderId="1" xfId="0" applyNumberFormat="1" applyBorder="1" applyAlignment="1">
      <alignment horizontal="center" vertical="center" wrapText="1"/>
    </xf>
    <xf numFmtId="1" fontId="2" fillId="3" borderId="6" xfId="0" applyNumberFormat="1" applyFont="1" applyFill="1" applyBorder="1" applyAlignment="1">
      <alignment horizontal="center" vertical="center" wrapText="1"/>
    </xf>
    <xf numFmtId="165" fontId="2" fillId="3" borderId="6"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7" fillId="0" borderId="0" xfId="0" applyFont="1" applyAlignment="1">
      <alignment horizontal="left" vertical="center"/>
    </xf>
    <xf numFmtId="165" fontId="2" fillId="4"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2" fillId="0" borderId="0" xfId="0" applyFont="1"/>
    <xf numFmtId="0" fontId="2" fillId="0" borderId="1" xfId="0" applyFont="1" applyBorder="1" applyAlignment="1">
      <alignment horizontal="center"/>
    </xf>
    <xf numFmtId="0" fontId="0" fillId="0" borderId="0" xfId="0" applyAlignment="1">
      <alignment horizontal="center"/>
    </xf>
    <xf numFmtId="0" fontId="2" fillId="0" borderId="0" xfId="0" quotePrefix="1" applyFont="1"/>
    <xf numFmtId="0" fontId="0" fillId="0" borderId="0" xfId="0" quotePrefix="1"/>
    <xf numFmtId="0" fontId="5" fillId="0" borderId="1" xfId="0" applyFon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left" vertical="center" wrapText="1"/>
    </xf>
    <xf numFmtId="0" fontId="0" fillId="2" borderId="1" xfId="0"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4" fillId="2" borderId="2"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64" fontId="2" fillId="0" borderId="1" xfId="0" applyNumberFormat="1" applyFont="1" applyBorder="1" applyAlignment="1">
      <alignment horizontal="center" vertical="center"/>
    </xf>
    <xf numFmtId="164" fontId="2" fillId="0" borderId="2" xfId="0" applyNumberFormat="1" applyFont="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165" fontId="2" fillId="3" borderId="1" xfId="0" applyNumberFormat="1" applyFont="1" applyFill="1" applyBorder="1" applyAlignment="1">
      <alignment horizontal="center" vertical="center" wrapText="1"/>
    </xf>
    <xf numFmtId="165" fontId="2" fillId="4" borderId="2" xfId="0" applyNumberFormat="1" applyFont="1" applyFill="1" applyBorder="1" applyAlignment="1">
      <alignment horizontal="center" vertical="center" wrapText="1"/>
    </xf>
    <xf numFmtId="165" fontId="2" fillId="4" borderId="4" xfId="0" applyNumberFormat="1"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164" fontId="2" fillId="0" borderId="0" xfId="0" applyNumberFormat="1" applyFont="1" applyAlignment="1">
      <alignment horizontal="lef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xf>
    <xf numFmtId="0" fontId="0" fillId="0" borderId="1" xfId="0"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FD78"/>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opLeftCell="A36" zoomScale="130" zoomScaleNormal="130" workbookViewId="0">
      <selection activeCell="D24" sqref="A1:XFD1048576"/>
    </sheetView>
  </sheetViews>
  <sheetFormatPr defaultColWidth="11" defaultRowHeight="16.899999999999999"/>
  <cols>
    <col min="1" max="1" width="10.875" customWidth="1"/>
    <col min="4" max="4" width="9.5" customWidth="1"/>
  </cols>
  <sheetData>
    <row r="1" spans="1:1">
      <c r="A1" s="31" t="s">
        <v>0</v>
      </c>
    </row>
    <row r="2" spans="1:1">
      <c r="A2" s="31" t="s">
        <v>1</v>
      </c>
    </row>
    <row r="3" spans="1:1">
      <c r="A3" s="31"/>
    </row>
    <row r="4" spans="1:1">
      <c r="A4" s="34" t="s">
        <v>2</v>
      </c>
    </row>
    <row r="5" spans="1:1">
      <c r="A5" t="s">
        <v>1</v>
      </c>
    </row>
    <row r="6" spans="1:1">
      <c r="A6" t="s">
        <v>3</v>
      </c>
    </row>
    <row r="7" spans="1:1">
      <c r="A7" s="35" t="s">
        <v>4</v>
      </c>
    </row>
    <row r="8" spans="1:1">
      <c r="A8" s="35" t="s">
        <v>5</v>
      </c>
    </row>
    <row r="9" spans="1:1">
      <c r="A9" s="35" t="s">
        <v>6</v>
      </c>
    </row>
    <row r="10" spans="1:1">
      <c r="A10" s="35" t="s">
        <v>7</v>
      </c>
    </row>
    <row r="12" spans="1:1">
      <c r="A12" s="31" t="s">
        <v>8</v>
      </c>
    </row>
    <row r="13" spans="1:1">
      <c r="A13" t="s">
        <v>9</v>
      </c>
    </row>
    <row r="14" spans="1:1">
      <c r="A14" t="s">
        <v>10</v>
      </c>
    </row>
    <row r="15" spans="1:1">
      <c r="A15" s="35" t="s">
        <v>11</v>
      </c>
    </row>
    <row r="16" spans="1:1">
      <c r="A16" s="35" t="s">
        <v>12</v>
      </c>
    </row>
    <row r="17" spans="1:1">
      <c r="A17" s="35" t="s">
        <v>13</v>
      </c>
    </row>
    <row r="18" spans="1:1">
      <c r="A18" s="35" t="s">
        <v>14</v>
      </c>
    </row>
    <row r="19" spans="1:1">
      <c r="A19" s="35" t="s">
        <v>15</v>
      </c>
    </row>
    <row r="21" spans="1:1">
      <c r="A21" s="31" t="s">
        <v>16</v>
      </c>
    </row>
    <row r="22" spans="1:1">
      <c r="A22" t="s">
        <v>17</v>
      </c>
    </row>
    <row r="23" spans="1:1">
      <c r="A23" t="s">
        <v>18</v>
      </c>
    </row>
    <row r="24" spans="1:1">
      <c r="A24" s="35" t="s">
        <v>19</v>
      </c>
    </row>
    <row r="25" spans="1:1">
      <c r="A25" t="s">
        <v>20</v>
      </c>
    </row>
    <row r="26" spans="1:1">
      <c r="A26" t="s">
        <v>21</v>
      </c>
    </row>
    <row r="27" spans="1:1">
      <c r="A27" s="35" t="s">
        <v>22</v>
      </c>
    </row>
    <row r="28" spans="1:1">
      <c r="A28" s="35" t="s">
        <v>23</v>
      </c>
    </row>
    <row r="29" spans="1:1">
      <c r="A29" s="35" t="s">
        <v>24</v>
      </c>
    </row>
    <row r="30" spans="1:1">
      <c r="A30" s="35" t="s">
        <v>25</v>
      </c>
    </row>
    <row r="31" spans="1:1">
      <c r="A31" s="35" t="s">
        <v>26</v>
      </c>
    </row>
    <row r="33" spans="1:9">
      <c r="A33" s="32" t="s">
        <v>27</v>
      </c>
      <c r="B33" s="77" t="s">
        <v>28</v>
      </c>
      <c r="C33" s="77"/>
      <c r="D33" s="77"/>
      <c r="E33" s="77"/>
      <c r="F33" s="77"/>
      <c r="G33" s="77"/>
      <c r="H33" s="77"/>
      <c r="I33" s="77"/>
    </row>
    <row r="34" spans="1:9" ht="98.1" customHeight="1">
      <c r="A34" s="5">
        <v>4</v>
      </c>
      <c r="B34" s="78" t="s">
        <v>29</v>
      </c>
      <c r="C34" s="78"/>
      <c r="D34" s="78"/>
      <c r="E34" s="78"/>
      <c r="F34" s="78"/>
      <c r="G34" s="78"/>
      <c r="H34" s="78"/>
      <c r="I34" s="78"/>
    </row>
    <row r="35" spans="1:9" ht="95.1" customHeight="1">
      <c r="A35" s="5">
        <v>3</v>
      </c>
      <c r="B35" s="78" t="s">
        <v>30</v>
      </c>
      <c r="C35" s="78"/>
      <c r="D35" s="78"/>
      <c r="E35" s="78"/>
      <c r="F35" s="78"/>
      <c r="G35" s="78"/>
      <c r="H35" s="78"/>
      <c r="I35" s="78"/>
    </row>
    <row r="36" spans="1:9" ht="66" customHeight="1">
      <c r="A36" s="5">
        <v>2</v>
      </c>
      <c r="B36" s="78" t="s">
        <v>31</v>
      </c>
      <c r="C36" s="78"/>
      <c r="D36" s="78"/>
      <c r="E36" s="78"/>
      <c r="F36" s="78"/>
      <c r="G36" s="78"/>
      <c r="H36" s="78"/>
      <c r="I36" s="78"/>
    </row>
    <row r="37" spans="1:9" ht="66" customHeight="1">
      <c r="A37" s="5">
        <v>1</v>
      </c>
      <c r="B37" s="78" t="s">
        <v>32</v>
      </c>
      <c r="C37" s="78"/>
      <c r="D37" s="78"/>
      <c r="E37" s="78"/>
      <c r="F37" s="78"/>
      <c r="G37" s="78"/>
      <c r="H37" s="78"/>
      <c r="I37" s="78"/>
    </row>
    <row r="38" spans="1:9">
      <c r="B38" s="33"/>
    </row>
    <row r="40" spans="1:9">
      <c r="A40" s="34" t="s">
        <v>33</v>
      </c>
    </row>
    <row r="41" spans="1:9">
      <c r="A41" s="35" t="s">
        <v>34</v>
      </c>
    </row>
    <row r="42" spans="1:9">
      <c r="A42" s="35" t="s">
        <v>35</v>
      </c>
    </row>
    <row r="43" spans="1:9">
      <c r="A43" s="35" t="s">
        <v>36</v>
      </c>
    </row>
  </sheetData>
  <mergeCells count="5">
    <mergeCell ref="B33:I33"/>
    <mergeCell ref="B34:I34"/>
    <mergeCell ref="B35:I35"/>
    <mergeCell ref="B36:I36"/>
    <mergeCell ref="B37:I37"/>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8"/>
  <sheetViews>
    <sheetView tabSelected="1" zoomScale="124" zoomScaleNormal="124" zoomScaleSheetLayoutView="139" workbookViewId="0">
      <selection activeCell="C48" sqref="C48"/>
    </sheetView>
  </sheetViews>
  <sheetFormatPr defaultColWidth="8.875" defaultRowHeight="16.899999999999999"/>
  <cols>
    <col min="1" max="1" width="3.875" style="1" customWidth="1"/>
    <col min="2" max="2" width="9.875" style="1" customWidth="1"/>
    <col min="3" max="3" width="79.75" style="1" customWidth="1"/>
    <col min="4" max="4" width="28.5" style="1" customWidth="1"/>
    <col min="5" max="9" width="15" style="2" customWidth="1"/>
    <col min="10" max="10" width="12" style="2" customWidth="1"/>
    <col min="11" max="13" width="10" style="2" customWidth="1"/>
    <col min="14" max="14" width="39.375" style="1" customWidth="1"/>
    <col min="15" max="16384" width="8.875" style="1"/>
  </cols>
  <sheetData>
    <row r="1" spans="1:19" ht="21.95" customHeight="1">
      <c r="A1" s="76" t="s">
        <v>37</v>
      </c>
      <c r="B1" s="76"/>
      <c r="C1" s="76"/>
      <c r="D1" s="76"/>
      <c r="E1" s="76"/>
      <c r="F1" s="76"/>
      <c r="G1" s="76"/>
      <c r="H1" s="76"/>
      <c r="I1" s="76"/>
      <c r="J1" s="76"/>
      <c r="K1" s="76"/>
      <c r="L1" s="76"/>
      <c r="M1" s="76"/>
      <c r="N1" s="76"/>
      <c r="O1" s="28"/>
      <c r="P1" s="28"/>
      <c r="Q1" s="28"/>
      <c r="R1" s="28"/>
      <c r="S1" s="28"/>
    </row>
    <row r="2" spans="1:19">
      <c r="A2" s="70" t="s">
        <v>38</v>
      </c>
      <c r="B2" s="70"/>
      <c r="C2" s="3" t="s">
        <v>39</v>
      </c>
      <c r="D2" s="3"/>
      <c r="E2" s="15"/>
      <c r="F2" s="15"/>
      <c r="G2" s="15"/>
      <c r="H2" s="15"/>
      <c r="I2" s="15"/>
    </row>
    <row r="3" spans="1:19">
      <c r="A3" s="70" t="s">
        <v>40</v>
      </c>
      <c r="B3" s="70"/>
      <c r="C3" s="3" t="s">
        <v>41</v>
      </c>
      <c r="D3" s="3"/>
      <c r="E3" s="15"/>
      <c r="F3" s="15"/>
      <c r="G3" s="15"/>
      <c r="H3" s="15"/>
      <c r="I3" s="15"/>
    </row>
    <row r="4" spans="1:19">
      <c r="A4" s="70" t="s">
        <v>42</v>
      </c>
      <c r="B4" s="70"/>
      <c r="C4" s="3" t="s">
        <v>43</v>
      </c>
      <c r="D4" s="3"/>
      <c r="E4" s="15"/>
      <c r="F4" s="15"/>
      <c r="G4" s="15"/>
      <c r="H4" s="15"/>
      <c r="I4" s="15"/>
    </row>
    <row r="5" spans="1:19">
      <c r="A5" s="70" t="s">
        <v>44</v>
      </c>
      <c r="B5" s="70"/>
      <c r="C5" s="3" t="s">
        <v>45</v>
      </c>
      <c r="D5" s="3"/>
      <c r="E5" s="15"/>
      <c r="F5" s="15"/>
      <c r="G5" s="15"/>
      <c r="H5" s="15"/>
      <c r="I5" s="15"/>
    </row>
    <row r="6" spans="1:19">
      <c r="A6" s="70" t="s">
        <v>46</v>
      </c>
      <c r="B6" s="70"/>
      <c r="C6" s="3">
        <v>3</v>
      </c>
      <c r="D6" s="3"/>
      <c r="E6" s="15"/>
      <c r="F6" s="15"/>
      <c r="G6" s="15"/>
      <c r="H6" s="15"/>
      <c r="I6" s="15"/>
    </row>
    <row r="7" spans="1:19">
      <c r="A7" s="70" t="s">
        <v>47</v>
      </c>
      <c r="B7" s="70"/>
      <c r="C7" s="3" t="s">
        <v>48</v>
      </c>
      <c r="D7" s="3"/>
      <c r="E7" s="15"/>
      <c r="F7" s="15"/>
      <c r="G7" s="15"/>
      <c r="H7" s="15"/>
      <c r="I7" s="15"/>
    </row>
    <row r="9" spans="1:19">
      <c r="A9" s="3" t="s">
        <v>49</v>
      </c>
      <c r="B9" s="3"/>
      <c r="C9" s="3"/>
      <c r="D9" s="3"/>
      <c r="E9" s="15"/>
      <c r="F9" s="15"/>
      <c r="G9" s="15"/>
      <c r="H9" s="15"/>
      <c r="I9" s="15"/>
      <c r="J9" s="15"/>
      <c r="K9" s="15"/>
      <c r="N9" s="3"/>
    </row>
    <row r="10" spans="1:19" ht="33.950000000000003">
      <c r="A10" s="4" t="s">
        <v>50</v>
      </c>
      <c r="B10" s="71" t="s">
        <v>51</v>
      </c>
      <c r="C10" s="72"/>
      <c r="D10" s="73"/>
      <c r="E10" s="16" t="s">
        <v>52</v>
      </c>
      <c r="F10" s="16" t="s">
        <v>53</v>
      </c>
      <c r="G10" s="16" t="s">
        <v>54</v>
      </c>
      <c r="H10" s="17" t="s">
        <v>55</v>
      </c>
      <c r="I10" s="17" t="s">
        <v>56</v>
      </c>
      <c r="J10" s="17" t="s">
        <v>57</v>
      </c>
      <c r="K10" s="17" t="s">
        <v>58</v>
      </c>
      <c r="L10" s="17" t="s">
        <v>59</v>
      </c>
      <c r="M10" s="17" t="s">
        <v>58</v>
      </c>
      <c r="N10" s="17" t="s">
        <v>60</v>
      </c>
    </row>
    <row r="11" spans="1:19" ht="49.5">
      <c r="A11" s="5">
        <v>1</v>
      </c>
      <c r="B11" s="43" t="s">
        <v>61</v>
      </c>
      <c r="C11" s="65"/>
      <c r="D11" s="44"/>
      <c r="E11" s="18">
        <v>0.2</v>
      </c>
      <c r="F11" s="6" t="s">
        <v>62</v>
      </c>
      <c r="G11" s="6" t="s">
        <v>63</v>
      </c>
      <c r="H11" s="19"/>
      <c r="I11" s="23"/>
      <c r="J11" s="19"/>
      <c r="K11" s="24">
        <f>D11*J11</f>
        <v>0</v>
      </c>
      <c r="L11" s="17"/>
      <c r="M11" s="24">
        <f>D11*L11</f>
        <v>0</v>
      </c>
      <c r="N11" s="10"/>
    </row>
    <row r="12" spans="1:19" ht="51">
      <c r="A12" s="5">
        <v>2</v>
      </c>
      <c r="B12" s="43" t="s">
        <v>64</v>
      </c>
      <c r="C12" s="74"/>
      <c r="D12" s="75"/>
      <c r="E12" s="20">
        <v>0.25</v>
      </c>
      <c r="F12" s="6" t="s">
        <v>65</v>
      </c>
      <c r="G12" s="6" t="s">
        <v>66</v>
      </c>
      <c r="H12" s="19"/>
      <c r="I12" s="19"/>
      <c r="J12" s="19"/>
      <c r="K12" s="24">
        <f>D12*J12</f>
        <v>0</v>
      </c>
      <c r="L12" s="17"/>
      <c r="M12" s="24">
        <f>D12*L12</f>
        <v>0</v>
      </c>
      <c r="N12" s="10"/>
    </row>
    <row r="13" spans="1:19" ht="51">
      <c r="A13" s="5">
        <v>3</v>
      </c>
      <c r="B13" s="43" t="s">
        <v>67</v>
      </c>
      <c r="C13" s="65"/>
      <c r="D13" s="44"/>
      <c r="E13" s="18">
        <v>0.25</v>
      </c>
      <c r="F13" s="6" t="s">
        <v>68</v>
      </c>
      <c r="G13" s="6" t="s">
        <v>69</v>
      </c>
      <c r="H13" s="19"/>
      <c r="I13" s="19"/>
      <c r="J13" s="19"/>
      <c r="K13" s="24">
        <f>D13*J13</f>
        <v>0</v>
      </c>
      <c r="L13" s="17"/>
      <c r="M13" s="24">
        <f>D13*L13</f>
        <v>0</v>
      </c>
      <c r="N13" s="10"/>
    </row>
    <row r="14" spans="1:19" ht="33">
      <c r="A14" s="5">
        <v>4</v>
      </c>
      <c r="B14" s="43" t="s">
        <v>70</v>
      </c>
      <c r="C14" s="65"/>
      <c r="D14" s="44"/>
      <c r="E14" s="18">
        <v>0.15</v>
      </c>
      <c r="F14" s="6" t="s">
        <v>71</v>
      </c>
      <c r="G14" s="21">
        <v>0.9</v>
      </c>
      <c r="H14" s="19"/>
      <c r="I14" s="19"/>
      <c r="J14" s="19"/>
      <c r="K14" s="24">
        <f t="shared" ref="K14:K15" si="0">D14*J14</f>
        <v>0</v>
      </c>
      <c r="L14" s="17"/>
      <c r="M14" s="24">
        <f>D14*L14</f>
        <v>0</v>
      </c>
      <c r="N14" s="10"/>
    </row>
    <row r="15" spans="1:19" ht="198">
      <c r="A15" s="5">
        <v>5</v>
      </c>
      <c r="B15" s="66" t="s">
        <v>72</v>
      </c>
      <c r="C15" s="66"/>
      <c r="D15" s="66"/>
      <c r="E15" s="18">
        <v>0.15</v>
      </c>
      <c r="F15" s="6" t="s">
        <v>73</v>
      </c>
      <c r="G15" s="6" t="s">
        <v>74</v>
      </c>
      <c r="H15" s="19"/>
      <c r="I15" s="19"/>
      <c r="J15" s="19"/>
      <c r="K15" s="24">
        <f t="shared" si="0"/>
        <v>0</v>
      </c>
      <c r="L15" s="17"/>
      <c r="M15" s="24">
        <f>D15*L15</f>
        <v>0</v>
      </c>
      <c r="N15" s="10"/>
    </row>
    <row r="16" spans="1:19">
      <c r="B16" s="3"/>
      <c r="C16" s="3"/>
      <c r="D16" s="7"/>
      <c r="E16" s="22">
        <f>SUM(E11:E15)</f>
        <v>1</v>
      </c>
      <c r="F16" s="15"/>
      <c r="G16" s="15"/>
      <c r="H16" s="15"/>
      <c r="J16" s="25" t="e">
        <f>AVERAGE(J11:J15)</f>
        <v>#DIV/0!</v>
      </c>
      <c r="K16" s="26">
        <f>SUM(K11:K15)</f>
        <v>0</v>
      </c>
      <c r="L16" s="27" t="e">
        <f>AVERAGE(L11:L15)</f>
        <v>#DIV/0!</v>
      </c>
      <c r="M16" s="29">
        <f>SUM(M11:M15)</f>
        <v>0</v>
      </c>
      <c r="N16" s="10"/>
    </row>
    <row r="17" spans="1:14">
      <c r="D17" s="8"/>
      <c r="I17" s="15"/>
    </row>
    <row r="18" spans="1:14">
      <c r="D18" s="9"/>
    </row>
    <row r="19" spans="1:14">
      <c r="A19" s="3" t="s">
        <v>75</v>
      </c>
      <c r="D19" s="9"/>
    </row>
    <row r="20" spans="1:14" ht="33.950000000000003">
      <c r="A20" s="67" t="s">
        <v>76</v>
      </c>
      <c r="B20" s="68"/>
      <c r="C20" s="68"/>
      <c r="D20" s="68"/>
      <c r="E20" s="68"/>
      <c r="F20" s="68"/>
      <c r="G20" s="68"/>
      <c r="H20" s="68"/>
      <c r="I20" s="69"/>
      <c r="J20" s="53" t="s">
        <v>57</v>
      </c>
      <c r="K20" s="55"/>
      <c r="L20" s="53" t="s">
        <v>59</v>
      </c>
      <c r="M20" s="55"/>
      <c r="N20" s="17" t="s">
        <v>77</v>
      </c>
    </row>
    <row r="21" spans="1:14">
      <c r="A21" s="56" t="s">
        <v>78</v>
      </c>
      <c r="B21" s="57"/>
      <c r="C21" s="58" t="s">
        <v>79</v>
      </c>
      <c r="D21" s="58"/>
      <c r="E21" s="58"/>
      <c r="F21" s="58"/>
      <c r="G21" s="58"/>
      <c r="H21" s="58"/>
      <c r="I21" s="59"/>
      <c r="J21" s="60"/>
      <c r="K21" s="61"/>
      <c r="L21" s="45"/>
      <c r="M21" s="47"/>
      <c r="N21" s="10"/>
    </row>
    <row r="22" spans="1:14" ht="17.100000000000001">
      <c r="A22" s="56" t="s">
        <v>80</v>
      </c>
      <c r="B22" s="57"/>
      <c r="C22" s="58" t="s">
        <v>81</v>
      </c>
      <c r="D22" s="58"/>
      <c r="E22" s="58"/>
      <c r="F22" s="58"/>
      <c r="G22" s="58"/>
      <c r="H22" s="58"/>
      <c r="I22" s="59"/>
      <c r="J22" s="60"/>
      <c r="K22" s="61"/>
      <c r="L22" s="45"/>
      <c r="M22" s="47"/>
      <c r="N22" s="30" t="s">
        <v>82</v>
      </c>
    </row>
    <row r="23" spans="1:14">
      <c r="A23" s="56" t="s">
        <v>83</v>
      </c>
      <c r="B23" s="57"/>
      <c r="C23" s="58" t="s">
        <v>84</v>
      </c>
      <c r="D23" s="58"/>
      <c r="E23" s="58"/>
      <c r="F23" s="58"/>
      <c r="G23" s="58"/>
      <c r="H23" s="58"/>
      <c r="I23" s="59"/>
      <c r="J23" s="60"/>
      <c r="K23" s="61"/>
      <c r="L23" s="45"/>
      <c r="M23" s="47"/>
      <c r="N23" s="10"/>
    </row>
    <row r="24" spans="1:14">
      <c r="A24" s="56" t="s">
        <v>85</v>
      </c>
      <c r="B24" s="57"/>
      <c r="C24" s="58" t="s">
        <v>86</v>
      </c>
      <c r="D24" s="58"/>
      <c r="E24" s="58"/>
      <c r="F24" s="58"/>
      <c r="G24" s="58"/>
      <c r="H24" s="58"/>
      <c r="I24" s="59"/>
      <c r="J24" s="60"/>
      <c r="K24" s="61"/>
      <c r="L24" s="45"/>
      <c r="M24" s="47"/>
      <c r="N24" s="10"/>
    </row>
    <row r="25" spans="1:14">
      <c r="D25" s="9"/>
      <c r="J25" s="62" t="e">
        <f>AVERAGE(J21:K24)</f>
        <v>#DIV/0!</v>
      </c>
      <c r="K25" s="62"/>
      <c r="L25" s="63" t="e">
        <f>AVERAGE(L21:M24)</f>
        <v>#DIV/0!</v>
      </c>
      <c r="M25" s="64"/>
    </row>
    <row r="26" spans="1:14">
      <c r="D26" s="9"/>
    </row>
    <row r="27" spans="1:14">
      <c r="D27" s="9"/>
    </row>
    <row r="28" spans="1:14">
      <c r="A28" s="3" t="s">
        <v>87</v>
      </c>
      <c r="D28" s="9"/>
    </row>
    <row r="29" spans="1:14" ht="32.1" customHeight="1">
      <c r="A29" s="4" t="s">
        <v>50</v>
      </c>
      <c r="B29" s="49" t="s">
        <v>88</v>
      </c>
      <c r="C29" s="49"/>
      <c r="D29" s="50" t="s">
        <v>89</v>
      </c>
      <c r="E29" s="51"/>
      <c r="F29" s="52"/>
      <c r="G29" s="50" t="s">
        <v>90</v>
      </c>
      <c r="H29" s="52"/>
      <c r="I29" s="17" t="s">
        <v>56</v>
      </c>
      <c r="J29" s="53" t="s">
        <v>60</v>
      </c>
      <c r="K29" s="54"/>
      <c r="L29" s="54"/>
      <c r="M29" s="54"/>
      <c r="N29" s="55"/>
    </row>
    <row r="30" spans="1:14">
      <c r="A30" s="5">
        <v>1</v>
      </c>
      <c r="B30" s="39" t="s">
        <v>91</v>
      </c>
      <c r="C30" s="39"/>
      <c r="D30" s="48" t="s">
        <v>92</v>
      </c>
      <c r="E30" s="41"/>
      <c r="F30" s="42"/>
      <c r="G30" s="43" t="s">
        <v>93</v>
      </c>
      <c r="H30" s="44"/>
      <c r="I30" s="19"/>
      <c r="J30" s="45"/>
      <c r="K30" s="46"/>
      <c r="L30" s="46"/>
      <c r="M30" s="46"/>
      <c r="N30" s="47"/>
    </row>
    <row r="31" spans="1:14">
      <c r="A31" s="5">
        <v>2</v>
      </c>
      <c r="B31" s="39" t="s">
        <v>94</v>
      </c>
      <c r="C31" s="39"/>
      <c r="D31" s="48" t="s">
        <v>95</v>
      </c>
      <c r="E31" s="41"/>
      <c r="F31" s="42"/>
      <c r="G31" s="43" t="s">
        <v>96</v>
      </c>
      <c r="H31" s="44"/>
      <c r="I31" s="19"/>
      <c r="J31" s="45"/>
      <c r="K31" s="46"/>
      <c r="L31" s="46"/>
      <c r="M31" s="46"/>
      <c r="N31" s="47"/>
    </row>
    <row r="32" spans="1:14">
      <c r="A32" s="5">
        <v>3</v>
      </c>
      <c r="B32" s="39" t="s">
        <v>97</v>
      </c>
      <c r="C32" s="39"/>
      <c r="D32" s="40" t="s">
        <v>98</v>
      </c>
      <c r="E32" s="41"/>
      <c r="F32" s="42"/>
      <c r="G32" s="43" t="s">
        <v>99</v>
      </c>
      <c r="H32" s="44"/>
      <c r="I32" s="19"/>
      <c r="J32" s="45"/>
      <c r="K32" s="46"/>
      <c r="L32" s="46"/>
      <c r="M32" s="46"/>
      <c r="N32" s="47"/>
    </row>
    <row r="33" spans="1:14">
      <c r="A33" s="5">
        <v>4</v>
      </c>
      <c r="B33" s="39" t="s">
        <v>100</v>
      </c>
      <c r="C33" s="39"/>
      <c r="D33" s="40" t="s">
        <v>101</v>
      </c>
      <c r="E33" s="41"/>
      <c r="F33" s="42"/>
      <c r="G33" s="43" t="s">
        <v>102</v>
      </c>
      <c r="H33" s="44"/>
      <c r="I33" s="19"/>
      <c r="J33" s="45"/>
      <c r="K33" s="46"/>
      <c r="L33" s="46"/>
      <c r="M33" s="46"/>
      <c r="N33" s="47"/>
    </row>
    <row r="34" spans="1:14">
      <c r="A34" s="5">
        <v>5</v>
      </c>
      <c r="B34" s="39"/>
      <c r="C34" s="39"/>
      <c r="D34" s="40"/>
      <c r="E34" s="41"/>
      <c r="F34" s="42"/>
      <c r="G34" s="43"/>
      <c r="H34" s="44"/>
      <c r="I34" s="19"/>
      <c r="J34" s="45"/>
      <c r="K34" s="46"/>
      <c r="L34" s="46"/>
      <c r="M34" s="46"/>
      <c r="N34" s="47"/>
    </row>
    <row r="36" spans="1:14">
      <c r="A36" s="3" t="s">
        <v>103</v>
      </c>
    </row>
    <row r="37" spans="1:14">
      <c r="A37" s="36" t="s">
        <v>104</v>
      </c>
      <c r="B37" s="36"/>
      <c r="C37" s="36"/>
      <c r="D37" s="36"/>
      <c r="E37" s="36"/>
      <c r="F37" s="36"/>
      <c r="G37" s="37" t="s">
        <v>105</v>
      </c>
      <c r="H37" s="37"/>
      <c r="I37" s="37"/>
      <c r="J37" s="37"/>
      <c r="K37" s="37"/>
      <c r="L37" s="37"/>
    </row>
    <row r="38" spans="1:14">
      <c r="A38" s="38" t="s">
        <v>106</v>
      </c>
      <c r="B38" s="38"/>
      <c r="C38" s="38"/>
      <c r="D38" s="38"/>
      <c r="E38" s="38"/>
      <c r="F38" s="38"/>
      <c r="G38" s="38"/>
      <c r="H38" s="38"/>
      <c r="I38" s="38"/>
      <c r="J38" s="38"/>
      <c r="K38" s="38"/>
      <c r="L38" s="38"/>
    </row>
    <row r="39" spans="1:14">
      <c r="A39" s="38"/>
      <c r="B39" s="38"/>
      <c r="C39" s="38"/>
      <c r="D39" s="38"/>
      <c r="E39" s="38"/>
      <c r="F39" s="38"/>
      <c r="G39" s="38"/>
      <c r="H39" s="38"/>
      <c r="I39" s="38"/>
      <c r="J39" s="38"/>
      <c r="K39" s="38"/>
      <c r="L39" s="38"/>
    </row>
    <row r="40" spans="1:14">
      <c r="A40" s="38"/>
      <c r="B40" s="38"/>
      <c r="C40" s="38"/>
      <c r="D40" s="38"/>
      <c r="E40" s="38"/>
      <c r="F40" s="38"/>
      <c r="G40" s="38"/>
      <c r="H40" s="38"/>
      <c r="I40" s="38"/>
      <c r="J40" s="38"/>
      <c r="K40" s="38"/>
      <c r="L40" s="38"/>
    </row>
    <row r="42" spans="1:14">
      <c r="A42" s="3" t="s">
        <v>107</v>
      </c>
      <c r="B42" s="3"/>
    </row>
    <row r="43" spans="1:14">
      <c r="A43"/>
      <c r="B43" t="s">
        <v>108</v>
      </c>
    </row>
    <row r="45" spans="1:14">
      <c r="B45" s="11"/>
      <c r="C45" s="12"/>
    </row>
    <row r="46" spans="1:14">
      <c r="B46" s="13" t="s">
        <v>109</v>
      </c>
    </row>
    <row r="47" spans="1:14">
      <c r="B47" s="14" t="s">
        <v>38</v>
      </c>
      <c r="C47" s="1" t="s">
        <v>39</v>
      </c>
    </row>
    <row r="48" spans="1:14">
      <c r="B48" s="14" t="s">
        <v>110</v>
      </c>
      <c r="C48" s="1" t="s">
        <v>111</v>
      </c>
    </row>
  </sheetData>
  <mergeCells count="62">
    <mergeCell ref="A1:N1"/>
    <mergeCell ref="A2:B2"/>
    <mergeCell ref="A3:B3"/>
    <mergeCell ref="A4:B4"/>
    <mergeCell ref="A5:B5"/>
    <mergeCell ref="A6:B6"/>
    <mergeCell ref="A7:B7"/>
    <mergeCell ref="B10:D10"/>
    <mergeCell ref="B11:D11"/>
    <mergeCell ref="B12:D12"/>
    <mergeCell ref="B13:D13"/>
    <mergeCell ref="B14:D14"/>
    <mergeCell ref="B15:D15"/>
    <mergeCell ref="A20:I20"/>
    <mergeCell ref="J20:K20"/>
    <mergeCell ref="L20:M20"/>
    <mergeCell ref="A21:B21"/>
    <mergeCell ref="C21:I21"/>
    <mergeCell ref="J21:K21"/>
    <mergeCell ref="L21:M21"/>
    <mergeCell ref="A22:B22"/>
    <mergeCell ref="C22:I22"/>
    <mergeCell ref="J22:K22"/>
    <mergeCell ref="L22:M22"/>
    <mergeCell ref="A23:B23"/>
    <mergeCell ref="C23:I23"/>
    <mergeCell ref="J23:K23"/>
    <mergeCell ref="L23:M23"/>
    <mergeCell ref="A24:B24"/>
    <mergeCell ref="C24:I24"/>
    <mergeCell ref="J24:K24"/>
    <mergeCell ref="L24:M24"/>
    <mergeCell ref="J25:K25"/>
    <mergeCell ref="L25:M25"/>
    <mergeCell ref="B29:C29"/>
    <mergeCell ref="D29:F29"/>
    <mergeCell ref="G29:H29"/>
    <mergeCell ref="J29:N29"/>
    <mergeCell ref="B30:C30"/>
    <mergeCell ref="D30:F30"/>
    <mergeCell ref="G30:H30"/>
    <mergeCell ref="J30:N30"/>
    <mergeCell ref="B31:C31"/>
    <mergeCell ref="D31:F31"/>
    <mergeCell ref="G31:H31"/>
    <mergeCell ref="J31:N31"/>
    <mergeCell ref="B32:C32"/>
    <mergeCell ref="D32:F32"/>
    <mergeCell ref="G32:H32"/>
    <mergeCell ref="J32:N32"/>
    <mergeCell ref="A37:F37"/>
    <mergeCell ref="G37:L37"/>
    <mergeCell ref="A38:F40"/>
    <mergeCell ref="G38:L40"/>
    <mergeCell ref="B33:C33"/>
    <mergeCell ref="D33:F33"/>
    <mergeCell ref="G33:H33"/>
    <mergeCell ref="J33:N33"/>
    <mergeCell ref="B34:C34"/>
    <mergeCell ref="D34:F34"/>
    <mergeCell ref="G34:H34"/>
    <mergeCell ref="J34:N34"/>
  </mergeCells>
  <pageMargins left="0.7" right="0.7" top="0.75" bottom="0.75" header="0.3" footer="0.3"/>
  <pageSetup scale="55"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Ainaa</dc:creator>
  <cp:keywords/>
  <dc:description/>
  <cp:lastModifiedBy/>
  <cp:revision/>
  <dcterms:created xsi:type="dcterms:W3CDTF">2023-07-21T02:22:00Z</dcterms:created>
  <dcterms:modified xsi:type="dcterms:W3CDTF">2026-03-26T10:21:40Z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3744D07555A5427ABC95417C693840E6_12</vt:lpwstr>
  </property>
  <property fmtid="{D5CDD505-2E9C-101B-9397-08002B2CF9AE}" pid="3" name="KSOProductBuildVer">
    <vt:lpwstr>1033-6.12.1.8654</vt:lpwstr>
  </property>
</Properties>
</file>